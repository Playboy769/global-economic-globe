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篩選排名" sheetId="1" state="visible" r:id="rId1"/>
    <sheet name="財務明細" sheetId="2" state="visible" r:id="rId2"/>
    <sheet name="指標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23" customWidth="1" min="3" max="3"/>
    <col width="6" customWidth="1" min="4" max="4"/>
    <col width="16" customWidth="1" min="5" max="5"/>
    <col width="20" customWidth="1" min="6" max="6"/>
    <col width="19" customWidth="1" min="7" max="7"/>
    <col width="21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20" customWidth="1" min="20" max="20"/>
  </cols>
  <sheetData>
    <row r="1">
      <c r="A1" t="inlineStr">
        <is>
          <t>排名</t>
        </is>
      </c>
      <c r="B1" t="inlineStr">
        <is>
          <t>股票代碼</t>
        </is>
      </c>
      <c r="C1" t="inlineStr">
        <is>
          <t>公司名稱</t>
        </is>
      </c>
      <c r="D1" t="inlineStr">
        <is>
          <t>綜合評分</t>
        </is>
      </c>
      <c r="E1" t="inlineStr">
        <is>
          <t>市值(十億USD)</t>
        </is>
      </c>
      <c r="F1" t="inlineStr">
        <is>
          <t>營收成長%</t>
        </is>
      </c>
      <c r="G1" t="inlineStr">
        <is>
          <t>毛利率%</t>
        </is>
      </c>
      <c r="H1" t="inlineStr">
        <is>
          <t>GAAP營業利益率%</t>
        </is>
      </c>
      <c r="I1" t="inlineStr">
        <is>
          <t>調整後利益率%(全R&amp;D)</t>
        </is>
      </c>
      <c r="J1" t="inlineStr">
        <is>
          <t>調整後利益率%(超額R&amp;D)</t>
        </is>
      </c>
      <c r="K1" t="inlineStr">
        <is>
          <t>研發費用率%</t>
        </is>
      </c>
      <c r="L1" t="inlineStr">
        <is>
          <t>行銷費用率%</t>
        </is>
      </c>
      <c r="M1" t="inlineStr">
        <is>
          <t>FCF利潤率%</t>
        </is>
      </c>
      <c r="N1" t="inlineStr">
        <is>
          <t>P/FCF倍數</t>
        </is>
      </c>
      <c r="O1" t="inlineStr">
        <is>
          <t>調整後PE(全R&amp;D)</t>
        </is>
      </c>
      <c r="P1" t="inlineStr">
        <is>
          <t>調整後PE(超額R&amp;D)</t>
        </is>
      </c>
      <c r="Q1" t="inlineStr">
        <is>
          <t>Rule of 40</t>
        </is>
      </c>
      <c r="R1" t="inlineStr">
        <is>
          <t>隱藏盈利比(倍)</t>
        </is>
      </c>
      <c r="S1" t="inlineStr">
        <is>
          <t>GAAP本益比</t>
        </is>
      </c>
      <c r="T1" t="inlineStr">
        <is>
          <t>FCF殖利率%</t>
        </is>
      </c>
    </row>
    <row r="2">
      <c r="A2" t="n">
        <v>1</v>
      </c>
      <c r="B2" t="inlineStr">
        <is>
          <t>NOW</t>
        </is>
      </c>
      <c r="C2" t="inlineStr">
        <is>
          <t>ServiceNow, Inc.</t>
        </is>
      </c>
      <c r="D2" t="n">
        <v>84.09999999999999</v>
      </c>
      <c r="E2" t="n">
        <v>106.307231744</v>
      </c>
      <c r="F2" t="n">
        <v>20.88492352512746</v>
      </c>
      <c r="G2" t="n">
        <v>77.534267208917</v>
      </c>
      <c r="H2" t="n">
        <v>13.73700858563037</v>
      </c>
      <c r="I2" t="n">
        <v>36.02952251845157</v>
      </c>
      <c r="J2" t="n">
        <v>33.02952251845158</v>
      </c>
      <c r="K2" t="n">
        <v>22.29251393282121</v>
      </c>
      <c r="L2" t="n">
        <v>33.04714565446603</v>
      </c>
      <c r="M2" t="n">
        <v>34.13917758698599</v>
      </c>
      <c r="N2" t="n">
        <v>23.45184905007721</v>
      </c>
      <c r="O2" t="n">
        <v>26.33711802989599</v>
      </c>
      <c r="P2" t="n">
        <v>28.51249999670036</v>
      </c>
      <c r="Q2" t="n">
        <v>55.02410111211346</v>
      </c>
      <c r="R2" t="n">
        <v>2.309155241043786</v>
      </c>
      <c r="S2" t="n">
        <v>61.357147</v>
      </c>
      <c r="T2" t="n">
        <v>4.264056100074154</v>
      </c>
    </row>
    <row r="3">
      <c r="A3" t="n">
        <v>2</v>
      </c>
      <c r="B3" t="inlineStr">
        <is>
          <t>DDOG</t>
        </is>
      </c>
      <c r="C3" t="inlineStr">
        <is>
          <t>Datadog, Inc.</t>
        </is>
      </c>
      <c r="D3" t="n">
        <v>77.5</v>
      </c>
      <c r="E3" t="n">
        <v>83.380117504</v>
      </c>
      <c r="F3" t="n">
        <v>27.67536858183308</v>
      </c>
      <c r="G3" t="n">
        <v>79.95549081775629</v>
      </c>
      <c r="H3" t="n">
        <v>-1.294746259145333</v>
      </c>
      <c r="I3" t="n">
        <v>43.88703409647294</v>
      </c>
      <c r="J3" t="n">
        <v>40.88703409647294</v>
      </c>
      <c r="K3" t="n">
        <v>45.18178035561827</v>
      </c>
      <c r="L3" t="n">
        <v>27.90717556646061</v>
      </c>
      <c r="M3" t="n">
        <v>26.69024888843759</v>
      </c>
      <c r="N3" t="n">
        <v>91.15400446695536</v>
      </c>
      <c r="O3" t="n">
        <v>58.67050869769117</v>
      </c>
      <c r="P3" t="n">
        <v>62.50617795052053</v>
      </c>
      <c r="Q3" t="n">
        <v>54.36561747027068</v>
      </c>
      <c r="R3" t="n">
        <v>13.19051180513459</v>
      </c>
      <c r="S3" t="n">
        <v>585.6</v>
      </c>
      <c r="T3" t="n">
        <v>1.097044508189999</v>
      </c>
    </row>
    <row r="4">
      <c r="A4" t="n">
        <v>3</v>
      </c>
      <c r="B4" t="inlineStr">
        <is>
          <t>CRM</t>
        </is>
      </c>
      <c r="C4" t="inlineStr">
        <is>
          <t>Salesforce, Inc.</t>
        </is>
      </c>
      <c r="D4" t="n">
        <v>71.90000000000001</v>
      </c>
      <c r="E4" t="n">
        <v>136.322547712</v>
      </c>
      <c r="F4" t="n">
        <v>9.579100145137881</v>
      </c>
      <c r="G4" t="n">
        <v>77.67609873570139</v>
      </c>
      <c r="H4" t="n">
        <v>21.47381095725467</v>
      </c>
      <c r="I4" t="n">
        <v>35.9060806742926</v>
      </c>
      <c r="J4" t="n">
        <v>32.9060806742926</v>
      </c>
      <c r="K4" t="n">
        <v>14.43226971703793</v>
      </c>
      <c r="L4" t="n">
        <v>32.14930764599639</v>
      </c>
      <c r="M4" t="n">
        <v>34.68272125225768</v>
      </c>
      <c r="N4" t="n">
        <v>9.465528934314678</v>
      </c>
      <c r="O4" t="n">
        <v>11.21875610949858</v>
      </c>
      <c r="P4" t="n">
        <v>12.19832578294005</v>
      </c>
      <c r="Q4" t="n">
        <v>44.26182139739556</v>
      </c>
      <c r="R4" t="n">
        <v>1.629516806722689</v>
      </c>
      <c r="S4" t="n">
        <v>19.309744</v>
      </c>
      <c r="T4" t="n">
        <v>10.56464997296426</v>
      </c>
    </row>
    <row r="5">
      <c r="A5" t="n">
        <v>4</v>
      </c>
      <c r="B5" t="inlineStr">
        <is>
          <t>MDB</t>
        </is>
      </c>
      <c r="C5" t="inlineStr">
        <is>
          <t>MongoDB, Inc.</t>
        </is>
      </c>
      <c r="D5" t="n">
        <v>67.8</v>
      </c>
      <c r="E5" t="n">
        <v>28.505880576</v>
      </c>
      <c r="F5" t="n">
        <v>22.794268264785</v>
      </c>
      <c r="G5" t="n">
        <v>71.7485653241724</v>
      </c>
      <c r="H5" t="n">
        <v>-5.559224238035845</v>
      </c>
      <c r="I5" t="n">
        <v>23.51390962810654</v>
      </c>
      <c r="J5" t="n">
        <v>20.51390962810654</v>
      </c>
      <c r="K5" t="n">
        <v>29.07313386614238</v>
      </c>
      <c r="L5" t="n">
        <v>38.33063357086643</v>
      </c>
      <c r="M5" t="n">
        <v>20.30151022994183</v>
      </c>
      <c r="N5" t="n">
        <v>56.99033278687214</v>
      </c>
      <c r="O5" t="n">
        <v>57.61925594847128</v>
      </c>
      <c r="P5" t="n">
        <v>65.33005683398881</v>
      </c>
      <c r="Q5" t="n">
        <v>43.09577849472683</v>
      </c>
      <c r="R5" t="inlineStr"/>
      <c r="S5" t="inlineStr"/>
      <c r="T5" t="n">
        <v>1.754683559648124</v>
      </c>
    </row>
    <row r="6">
      <c r="A6" t="n">
        <v>5</v>
      </c>
      <c r="B6" t="inlineStr">
        <is>
          <t>MSFT</t>
        </is>
      </c>
      <c r="C6" t="inlineStr">
        <is>
          <t>Microsoft Corporation</t>
        </is>
      </c>
      <c r="D6" t="n">
        <v>49.3</v>
      </c>
      <c r="E6" t="n">
        <v>2899.615154176</v>
      </c>
      <c r="F6" t="n">
        <v>14.93215623240672</v>
      </c>
      <c r="G6" t="n">
        <v>68.82374238616519</v>
      </c>
      <c r="H6" t="n">
        <v>45.62195624085985</v>
      </c>
      <c r="I6" t="n">
        <v>57.15381011202454</v>
      </c>
      <c r="J6" t="n">
        <v>54.15381011202454</v>
      </c>
      <c r="K6" t="n">
        <v>11.53185387116469</v>
      </c>
      <c r="L6" t="n">
        <v>9.106075449730943</v>
      </c>
      <c r="M6" t="n">
        <v>25.41884965427156</v>
      </c>
      <c r="N6" t="n">
        <v>40.49119763969222</v>
      </c>
      <c r="O6" t="n">
        <v>22.54887008865196</v>
      </c>
      <c r="P6" t="n">
        <v>23.83948706740024</v>
      </c>
      <c r="Q6" t="n">
        <v>40.35100588667828</v>
      </c>
      <c r="R6" t="n">
        <v>1.262790490750402</v>
      </c>
      <c r="S6" t="n">
        <v>23.262217</v>
      </c>
      <c r="T6" t="n">
        <v>2.469672566611692</v>
      </c>
    </row>
    <row r="7">
      <c r="A7" t="n">
        <v>6</v>
      </c>
      <c r="B7" t="inlineStr">
        <is>
          <t>NVDA</t>
        </is>
      </c>
      <c r="C7" t="inlineStr">
        <is>
          <t>NVIDIA Corporation</t>
        </is>
      </c>
      <c r="D7" t="n">
        <v>47.1</v>
      </c>
      <c r="E7" t="n">
        <v>4962.156281856</v>
      </c>
      <c r="F7" t="n">
        <v>65.4735357900948</v>
      </c>
      <c r="G7" t="n">
        <v>71.06808435754708</v>
      </c>
      <c r="H7" t="n">
        <v>60.38168363141272</v>
      </c>
      <c r="I7" t="n">
        <v>68.94756828348878</v>
      </c>
      <c r="J7" t="n">
        <v>65.94756828348878</v>
      </c>
      <c r="K7" t="n">
        <v>8.565884652076058</v>
      </c>
      <c r="L7" t="n">
        <v>0</v>
      </c>
      <c r="M7" t="n">
        <v>44.77025812964833</v>
      </c>
      <c r="N7" t="n">
        <v>51.32769541412554</v>
      </c>
      <c r="O7" t="n">
        <v>36.54884285930238</v>
      </c>
      <c r="P7" t="n">
        <v>38.09162177145798</v>
      </c>
      <c r="Q7" t="n">
        <v>110.2437939197431</v>
      </c>
      <c r="R7" t="n">
        <v>1.130767055496642</v>
      </c>
      <c r="S7" t="n">
        <v>31.325687</v>
      </c>
      <c r="T7" t="n">
        <v>1.948265925309394</v>
      </c>
    </row>
    <row r="8">
      <c r="A8" t="n">
        <v>7</v>
      </c>
      <c r="B8" t="inlineStr">
        <is>
          <t>GOOGL</t>
        </is>
      </c>
      <c r="C8" t="inlineStr">
        <is>
          <t>Alphabet Inc.</t>
        </is>
      </c>
      <c r="D8" t="n">
        <v>43</v>
      </c>
      <c r="E8" t="n">
        <v>4362.981605376</v>
      </c>
      <c r="F8" t="n">
        <v>15.09008108154438</v>
      </c>
      <c r="G8" t="n">
        <v>59.65231508603998</v>
      </c>
      <c r="H8" t="n">
        <v>32.03263859238002</v>
      </c>
      <c r="I8" t="n">
        <v>47.19687416219007</v>
      </c>
      <c r="J8" t="n">
        <v>44.19687416219008</v>
      </c>
      <c r="K8" t="n">
        <v>15.16423556981005</v>
      </c>
      <c r="L8" t="n">
        <v>7.122749704594425</v>
      </c>
      <c r="M8" t="n">
        <v>18.18755026859566</v>
      </c>
      <c r="N8" t="n">
        <v>59.54988132798297</v>
      </c>
      <c r="O8" t="n">
        <v>23.84081991639882</v>
      </c>
      <c r="P8" t="n">
        <v>25.22715056896597</v>
      </c>
      <c r="Q8" t="n">
        <v>33.27763135014003</v>
      </c>
      <c r="R8" t="n">
        <v>1.384615868938335</v>
      </c>
      <c r="S8" t="n">
        <v>27.331549</v>
      </c>
      <c r="T8" t="n">
        <v>1.679264471565104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6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5" customWidth="1" min="9" max="9"/>
    <col width="17" customWidth="1" min="10" max="10"/>
  </cols>
  <sheetData>
    <row r="1">
      <c r="A1" t="inlineStr">
        <is>
          <t>代碼</t>
        </is>
      </c>
      <c r="B1" t="inlineStr">
        <is>
          <t>公司</t>
        </is>
      </c>
      <c r="C1" t="inlineStr">
        <is>
          <t>年營收(USD)</t>
        </is>
      </c>
      <c r="D1" t="inlineStr">
        <is>
          <t>研發費用(USD)</t>
        </is>
      </c>
      <c r="E1" t="inlineStr">
        <is>
          <t>超額研發費用(USD)</t>
        </is>
      </c>
      <c r="F1" t="inlineStr">
        <is>
          <t>行銷費用(USD)</t>
        </is>
      </c>
      <c r="G1" t="inlineStr">
        <is>
          <t>GAAP營業利益(USD)</t>
        </is>
      </c>
      <c r="H1" t="inlineStr">
        <is>
          <t>GAAP淨利(USD)</t>
        </is>
      </c>
      <c r="I1" t="inlineStr">
        <is>
          <t>自由現金流(USD)</t>
        </is>
      </c>
      <c r="J1" t="inlineStr">
        <is>
          <t>市值(USD)</t>
        </is>
      </c>
    </row>
    <row r="2">
      <c r="A2" t="inlineStr">
        <is>
          <t>NOW</t>
        </is>
      </c>
      <c r="B2" t="inlineStr">
        <is>
          <t>ServiceNow, Inc.</t>
        </is>
      </c>
      <c r="C2" t="n">
        <v>13278000000</v>
      </c>
      <c r="D2" t="n">
        <v>2960000000</v>
      </c>
      <c r="E2" t="n">
        <v>2561660000</v>
      </c>
      <c r="F2" t="n">
        <v>4388000000</v>
      </c>
      <c r="G2" t="n">
        <v>1824000000</v>
      </c>
      <c r="H2" t="n">
        <v>1748000000</v>
      </c>
      <c r="I2" t="n">
        <v>4533000000</v>
      </c>
      <c r="J2" t="n">
        <v>106307231744</v>
      </c>
    </row>
    <row r="3">
      <c r="A3" t="inlineStr">
        <is>
          <t>DDOG</t>
        </is>
      </c>
      <c r="B3" t="inlineStr">
        <is>
          <t>Datadog, Inc.</t>
        </is>
      </c>
      <c r="C3" t="n">
        <v>3427158000</v>
      </c>
      <c r="D3" t="n">
        <v>1548451000</v>
      </c>
      <c r="E3" t="n">
        <v>1445636260</v>
      </c>
      <c r="F3" t="n">
        <v>956423000</v>
      </c>
      <c r="G3" t="n">
        <v>-44373000</v>
      </c>
      <c r="H3" t="n">
        <v>107741000</v>
      </c>
      <c r="I3" t="n">
        <v>914717000</v>
      </c>
      <c r="J3" t="n">
        <v>83380117504</v>
      </c>
    </row>
    <row r="4">
      <c r="A4" t="inlineStr">
        <is>
          <t>CRM</t>
        </is>
      </c>
      <c r="B4" t="inlineStr">
        <is>
          <t>Salesforce, Inc.</t>
        </is>
      </c>
      <c r="C4" t="n">
        <v>41525000000</v>
      </c>
      <c r="D4" t="n">
        <v>5993000000</v>
      </c>
      <c r="E4" t="n">
        <v>4747250000</v>
      </c>
      <c r="F4" t="n">
        <v>13350000000</v>
      </c>
      <c r="G4" t="n">
        <v>8917000000</v>
      </c>
      <c r="H4" t="n">
        <v>7457000000</v>
      </c>
      <c r="I4" t="n">
        <v>14402000000</v>
      </c>
      <c r="J4" t="n">
        <v>136322547712</v>
      </c>
    </row>
    <row r="5">
      <c r="A5" t="inlineStr">
        <is>
          <t>MDB</t>
        </is>
      </c>
      <c r="B5" t="inlineStr">
        <is>
          <t>MongoDB, Inc.</t>
        </is>
      </c>
      <c r="C5" t="n">
        <v>2463797000</v>
      </c>
      <c r="D5" t="n">
        <v>716303000</v>
      </c>
      <c r="E5" t="n">
        <v>642389090</v>
      </c>
      <c r="F5" t="n">
        <v>944389000</v>
      </c>
      <c r="G5" t="n">
        <v>-136968000</v>
      </c>
      <c r="H5" t="n">
        <v>-71151000</v>
      </c>
      <c r="I5" t="n">
        <v>500188000</v>
      </c>
      <c r="J5" t="n">
        <v>28505880576</v>
      </c>
    </row>
    <row r="6">
      <c r="A6" t="inlineStr">
        <is>
          <t>MSFT</t>
        </is>
      </c>
      <c r="B6" t="inlineStr">
        <is>
          <t>Microsoft Corporation</t>
        </is>
      </c>
      <c r="C6" t="n">
        <v>281724000000</v>
      </c>
      <c r="D6" t="n">
        <v>32488000000</v>
      </c>
      <c r="E6" t="n">
        <v>24036280000</v>
      </c>
      <c r="F6" t="n">
        <v>25654000000</v>
      </c>
      <c r="G6" t="n">
        <v>128528000000</v>
      </c>
      <c r="H6" t="n">
        <v>101832000000</v>
      </c>
      <c r="I6" t="n">
        <v>71611000000</v>
      </c>
      <c r="J6" t="n">
        <v>2899615154176</v>
      </c>
    </row>
    <row r="7">
      <c r="A7" t="inlineStr">
        <is>
          <t>NVDA</t>
        </is>
      </c>
      <c r="B7" t="inlineStr">
        <is>
          <t>NVIDIA Corporation</t>
        </is>
      </c>
      <c r="C7" t="n">
        <v>215938000000</v>
      </c>
      <c r="D7" t="n">
        <v>18497000000</v>
      </c>
      <c r="E7" t="n">
        <v>12018860000</v>
      </c>
      <c r="F7" t="n">
        <v>0</v>
      </c>
      <c r="G7" t="n">
        <v>130387000000</v>
      </c>
      <c r="H7" t="n">
        <v>120067000000</v>
      </c>
      <c r="I7" t="n">
        <v>96676000000</v>
      </c>
      <c r="J7" t="n">
        <v>4962156281856</v>
      </c>
    </row>
    <row r="8">
      <c r="A8" t="inlineStr">
        <is>
          <t>GOOGL</t>
        </is>
      </c>
      <c r="B8" t="inlineStr">
        <is>
          <t>Alphabet Inc.</t>
        </is>
      </c>
      <c r="C8" t="n">
        <v>402836000000</v>
      </c>
      <c r="D8" t="n">
        <v>61087000000</v>
      </c>
      <c r="E8" t="n">
        <v>49001920000</v>
      </c>
      <c r="F8" t="n">
        <v>28693000000</v>
      </c>
      <c r="G8" t="n">
        <v>129039000000</v>
      </c>
      <c r="H8" t="n">
        <v>132170000000</v>
      </c>
      <c r="I8" t="n">
        <v>73266000000</v>
      </c>
      <c r="J8" t="n">
        <v>4362981605376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t="inlineStr">
        <is>
          <t>指標</t>
        </is>
      </c>
      <c r="B1" t="inlineStr">
        <is>
          <t>說明</t>
        </is>
      </c>
    </row>
    <row r="2">
      <c r="A2" t="inlineStr">
        <is>
          <t>評分架構（滿分100）</t>
        </is>
      </c>
      <c r="B2" t="inlineStr">
        <is>
          <t>隱藏盈利25 + 現金流品質20 + 成長性20 + 估值20 + 研發強度15</t>
        </is>
      </c>
    </row>
    <row r="3">
      <c r="A3" t="inlineStr"/>
      <c r="B3" t="inlineStr"/>
    </row>
    <row r="4">
      <c r="A4" t="inlineStr">
        <is>
          <t>毛利率%</t>
        </is>
      </c>
      <c r="B4" t="inlineStr">
        <is>
          <t>高毛利=軟體/高值產品特徵；&gt;60% 理想，&gt;45% 可接受</t>
        </is>
      </c>
    </row>
    <row r="5">
      <c r="A5" t="inlineStr">
        <is>
          <t>研發費用率%</t>
        </is>
      </c>
      <c r="B5" t="inlineStr">
        <is>
          <t>研發投入越高，被壓低的盈利越多；&gt;15% 為高研發</t>
        </is>
      </c>
    </row>
    <row r="6">
      <c r="A6" t="inlineStr">
        <is>
          <t>GAAP營業利益率%</t>
        </is>
      </c>
      <c r="B6" t="inlineStr">
        <is>
          <t>傳統會計利潤，受研發/行銷超額支出壓低</t>
        </is>
      </c>
    </row>
    <row r="7">
      <c r="A7" t="inlineStr">
        <is>
          <t>調整後利益率% A</t>
        </is>
      </c>
      <c r="B7" t="inlineStr">
        <is>
          <t>加回全部R&amp;D費用後的利潤率（最樂觀上限）</t>
        </is>
      </c>
    </row>
    <row r="8">
      <c r="A8" t="inlineStr">
        <is>
          <t>調整後利益率% B</t>
        </is>
      </c>
      <c r="B8" t="inlineStr">
        <is>
          <t>只加回超出傳統企業3%基準的R&amp;D（保守估計）</t>
        </is>
      </c>
    </row>
    <row r="9">
      <c r="A9" t="inlineStr">
        <is>
          <t>FCF利潤率%</t>
        </is>
      </c>
      <c r="B9" t="inlineStr">
        <is>
          <t>自由現金流/營收；&gt;15% 優秀，是最真實的獲利衡量</t>
        </is>
      </c>
    </row>
    <row r="10">
      <c r="A10" t="inlineStr">
        <is>
          <t>P/FCF倍數</t>
        </is>
      </c>
      <c r="B10" t="inlineStr">
        <is>
          <t>市值/FCF；&lt;15x 低估，15-30x 合理，&gt;50x 昂貴</t>
        </is>
      </c>
    </row>
    <row r="11">
      <c r="A11" t="inlineStr">
        <is>
          <t>調整後PE</t>
        </is>
      </c>
      <c r="B11" t="inlineStr">
        <is>
          <t>市值/調整後淨利；比傳統PE更適合評估高研發科技股</t>
        </is>
      </c>
    </row>
    <row r="12">
      <c r="A12" t="inlineStr">
        <is>
          <t>Rule of 40</t>
        </is>
      </c>
      <c r="B12">
        <f>營收成長%+FCF利潤%；SaaS業黃金指標；&gt;40優秀，&gt;60卓越</f>
        <v/>
      </c>
    </row>
    <row r="13">
      <c r="A13" t="inlineStr">
        <is>
          <t>隱藏盈利比(倍)</t>
        </is>
      </c>
      <c r="B13" t="inlineStr">
        <is>
          <t>調整後淨利/GAAP淨利；倍數越高代表隱藏越多（投資機會）</t>
        </is>
      </c>
    </row>
    <row r="14">
      <c r="A14" t="inlineStr">
        <is>
          <t>FCF殖利率%</t>
        </is>
      </c>
      <c r="B14" t="inlineStr">
        <is>
          <t>FCF/市值×100；&gt;3% 視為具吸引力</t>
        </is>
      </c>
    </row>
    <row r="15">
      <c r="A15" t="inlineStr"/>
      <c r="B15" t="inlineStr"/>
    </row>
    <row r="16">
      <c r="A16" t="inlineStr">
        <is>
          <t>資料來源</t>
        </is>
      </c>
      <c r="B16" t="inlineStr">
        <is>
          <t>Yahoo Finance (yfinance)，完全免費、不需API Key</t>
        </is>
      </c>
    </row>
    <row r="17">
      <c r="A17" t="inlineStr">
        <is>
          <t>美股格式</t>
        </is>
      </c>
      <c r="B17" t="inlineStr">
        <is>
          <t>直接輸入代碼：MSFT, GOOGL, NVDA ...</t>
        </is>
      </c>
    </row>
    <row r="18">
      <c r="A18" t="inlineStr">
        <is>
          <t>台股格式</t>
        </is>
      </c>
      <c r="B18" t="inlineStr">
        <is>
          <t>代碼後加 .TW：2330.TW, 2454.TW ...</t>
        </is>
      </c>
    </row>
    <row r="19">
      <c r="A19" t="inlineStr">
        <is>
          <t>更新日期</t>
        </is>
      </c>
      <c r="B19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2026-06-12T10:55:35Z</dcterms:created>
  <dcterms:modified xsi:type="dcterms:W3CDTF">2026-06-12T10:55:35Z</dcterms:modified>
</cp:coreProperties>
</file>